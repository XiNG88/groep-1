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4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c7O7HVIZDH4uoezg+cM8/CsJXtVKQ0mGzDQh8AhBrkY="/>
    </ext>
  </extLst>
</workbook>
</file>

<file path=xl/sharedStrings.xml><?xml version="1.0" encoding="utf-8"?>
<sst xmlns="http://schemas.openxmlformats.org/spreadsheetml/2006/main" count="75" uniqueCount="35">
  <si>
    <t>waarde</t>
  </si>
  <si>
    <t>eenheid</t>
  </si>
  <si>
    <t>5.5</t>
  </si>
  <si>
    <t>3,5L</t>
  </si>
  <si>
    <t>5,5L</t>
  </si>
  <si>
    <t>DMM</t>
  </si>
  <si>
    <t>resolutie</t>
  </si>
  <si>
    <t>digit</t>
  </si>
  <si>
    <t>percentage</t>
  </si>
  <si>
    <t>onzekerheid</t>
  </si>
  <si>
    <t>min</t>
  </si>
  <si>
    <t>max</t>
  </si>
  <si>
    <t>ohm</t>
  </si>
  <si>
    <t>330(1%)</t>
  </si>
  <si>
    <t>kiloohm</t>
  </si>
  <si>
    <t>330(5%)</t>
  </si>
  <si>
    <t>met</t>
  </si>
  <si>
    <t>20v(150)</t>
  </si>
  <si>
    <t>2v(1,5A)</t>
  </si>
  <si>
    <t>40m</t>
  </si>
  <si>
    <t>4m</t>
  </si>
  <si>
    <t>Ub</t>
  </si>
  <si>
    <t>R1</t>
  </si>
  <si>
    <t>R2</t>
  </si>
  <si>
    <t>R12</t>
  </si>
  <si>
    <t>R3</t>
  </si>
  <si>
    <t>18.</t>
  </si>
  <si>
    <t>R23</t>
  </si>
  <si>
    <t>Vtot</t>
  </si>
  <si>
    <t>V1</t>
  </si>
  <si>
    <t>V2</t>
  </si>
  <si>
    <t>I</t>
  </si>
  <si>
    <t>0,5mm onzekerheid</t>
  </si>
  <si>
    <t>korte buis</t>
  </si>
  <si>
    <t>lange buis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</si>
</sst>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0.0"/>
      <color theme="1"/>
      <name val="Arimo"/>
    </font>
    <font>
      <sz val="11.0"/>
      <color theme="1"/>
      <name val="Quattrocento Sans"/>
    </font>
    <font>
      <sz val="8.0"/>
      <color theme="1"/>
      <name val="Arimo"/>
    </font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Sheet2!$B$11:$B$34</c:f>
            </c:numRef>
          </c:xVal>
          <c:yVal>
            <c:numRef>
              <c:f>Sheet2!$D$11:$D$34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54535"/>
        <c:axId val="2038892914"/>
      </c:scatterChart>
      <c:valAx>
        <c:axId val="4715545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8892914"/>
      </c:valAx>
      <c:valAx>
        <c:axId val="2038892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155453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Sheet4!$J$1:$J$16</c:f>
            </c:numRef>
          </c:xVal>
          <c:yVal>
            <c:numRef>
              <c:f>Sheet4!$K$1:$K$16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769167"/>
        <c:axId val="1540298233"/>
      </c:scatterChart>
      <c:valAx>
        <c:axId val="1103769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0298233"/>
      </c:valAx>
      <c:valAx>
        <c:axId val="1540298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3769167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6</xdr:row>
      <xdr:rowOff>38100</xdr:rowOff>
    </xdr:from>
    <xdr:ext cx="4953000" cy="2714625"/>
    <xdr:graphicFrame>
      <xdr:nvGraphicFramePr>
        <xdr:cNvPr id="1843725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6</xdr:row>
      <xdr:rowOff>38100</xdr:rowOff>
    </xdr:from>
    <xdr:ext cx="4905375" cy="2714625"/>
    <xdr:graphicFrame>
      <xdr:nvGraphicFramePr>
        <xdr:cNvPr id="118350438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>
        <v>3.5</v>
      </c>
      <c r="E1" s="1" t="s">
        <v>2</v>
      </c>
      <c r="G1" s="1" t="s">
        <v>3</v>
      </c>
      <c r="I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ht="14.25" customHeight="1">
      <c r="A2" s="1">
        <v>10.0</v>
      </c>
      <c r="B2" s="1" t="s">
        <v>12</v>
      </c>
      <c r="C2" s="1">
        <v>10.3</v>
      </c>
      <c r="D2" s="1" t="s">
        <v>12</v>
      </c>
      <c r="E2" s="1">
        <v>10.137</v>
      </c>
      <c r="F2" s="1" t="s">
        <v>12</v>
      </c>
      <c r="G2" s="1">
        <v>10.4</v>
      </c>
      <c r="I2" s="1">
        <v>10.267</v>
      </c>
      <c r="L2" s="1">
        <v>5.5</v>
      </c>
      <c r="O2" s="1">
        <f>(0.03+0.005)/100</f>
        <v>0.00035</v>
      </c>
      <c r="P2" s="1">
        <f>O2*E2</f>
        <v>0.00354795</v>
      </c>
      <c r="Q2" s="1">
        <f>E2-P2</f>
        <v>10.13345205</v>
      </c>
      <c r="R2" s="1">
        <f>E2+P2</f>
        <v>10.14054795</v>
      </c>
    </row>
    <row r="3" ht="14.25" customHeight="1">
      <c r="A3" s="1">
        <v>100.0</v>
      </c>
      <c r="B3" s="1" t="s">
        <v>12</v>
      </c>
      <c r="C3" s="1">
        <v>100.5</v>
      </c>
      <c r="D3" s="1" t="s">
        <v>12</v>
      </c>
      <c r="E3" s="1">
        <v>100.39</v>
      </c>
      <c r="F3" s="1" t="s">
        <v>12</v>
      </c>
      <c r="G3" s="1">
        <v>100.6</v>
      </c>
      <c r="I3" s="1">
        <v>100.491</v>
      </c>
      <c r="L3" s="1">
        <v>3.5</v>
      </c>
      <c r="M3" s="1">
        <v>0.1</v>
      </c>
      <c r="N3" s="1">
        <v>4.0</v>
      </c>
      <c r="O3" s="1">
        <v>0.01</v>
      </c>
      <c r="P3" s="1">
        <f>(C2*O3+M3*N3)</f>
        <v>0.503</v>
      </c>
      <c r="Q3" s="1">
        <f>C2-P3</f>
        <v>9.797</v>
      </c>
      <c r="R3" s="1">
        <f>C2+P3</f>
        <v>10.803</v>
      </c>
    </row>
    <row r="4" ht="14.25" customHeight="1">
      <c r="A4" s="1" t="s">
        <v>13</v>
      </c>
      <c r="B4" s="1" t="s">
        <v>12</v>
      </c>
      <c r="C4" s="1">
        <v>329.3</v>
      </c>
      <c r="D4" s="1" t="s">
        <v>12</v>
      </c>
      <c r="E4" s="1">
        <v>0.32955</v>
      </c>
      <c r="F4" s="1" t="s">
        <v>14</v>
      </c>
      <c r="G4" s="1">
        <v>329.5</v>
      </c>
      <c r="I4" s="1">
        <v>0.32963</v>
      </c>
    </row>
    <row r="5" ht="14.25" customHeight="1">
      <c r="A5" s="1" t="s">
        <v>15</v>
      </c>
      <c r="B5" s="1" t="s">
        <v>12</v>
      </c>
      <c r="C5" s="1">
        <v>326.0</v>
      </c>
      <c r="D5" s="1" t="s">
        <v>12</v>
      </c>
      <c r="E5" s="1">
        <v>0.32511</v>
      </c>
      <c r="F5" s="1" t="s">
        <v>14</v>
      </c>
      <c r="G5" s="1">
        <v>326.1</v>
      </c>
      <c r="I5" s="1">
        <v>0.32703</v>
      </c>
    </row>
    <row r="6" ht="14.25" customHeight="1">
      <c r="A6" s="1">
        <v>470.0</v>
      </c>
      <c r="B6" s="1" t="s">
        <v>12</v>
      </c>
      <c r="C6" s="1">
        <v>0.47</v>
      </c>
      <c r="D6" s="1" t="s">
        <v>14</v>
      </c>
      <c r="E6" s="1">
        <v>0.4688</v>
      </c>
      <c r="F6" s="1" t="s">
        <v>14</v>
      </c>
      <c r="G6" s="1">
        <v>0.47</v>
      </c>
      <c r="I6" s="1">
        <v>0.46888</v>
      </c>
    </row>
    <row r="7" ht="14.25" customHeight="1">
      <c r="A7" s="1">
        <v>1.0</v>
      </c>
      <c r="B7" s="1" t="s">
        <v>14</v>
      </c>
      <c r="C7" s="1">
        <v>0.99</v>
      </c>
      <c r="D7" s="1" t="s">
        <v>14</v>
      </c>
      <c r="E7" s="1">
        <v>0.99464</v>
      </c>
      <c r="F7" s="1" t="s">
        <v>14</v>
      </c>
      <c r="G7" s="1">
        <v>0.99</v>
      </c>
      <c r="I7" s="1">
        <v>0.9947</v>
      </c>
    </row>
    <row r="8" ht="14.25" customHeight="1">
      <c r="A8" s="1">
        <v>4.7</v>
      </c>
      <c r="B8" s="1" t="s">
        <v>14</v>
      </c>
      <c r="C8" s="1">
        <v>4.69</v>
      </c>
      <c r="D8" s="1" t="s">
        <v>14</v>
      </c>
      <c r="E8" s="1">
        <v>4.6961</v>
      </c>
      <c r="F8" s="1" t="s">
        <v>14</v>
      </c>
      <c r="G8" s="1">
        <v>4.7</v>
      </c>
      <c r="I8" s="1">
        <v>4.6961</v>
      </c>
    </row>
    <row r="9" ht="14.25" customHeight="1">
      <c r="A9" s="1">
        <v>10.0</v>
      </c>
      <c r="B9" s="1" t="s">
        <v>14</v>
      </c>
      <c r="C9" s="1">
        <v>9.97</v>
      </c>
      <c r="D9" s="1" t="s">
        <v>14</v>
      </c>
      <c r="E9" s="1">
        <v>9.9747</v>
      </c>
      <c r="F9" s="1" t="s">
        <v>14</v>
      </c>
      <c r="G9" s="1">
        <v>9.98</v>
      </c>
      <c r="I9" s="1">
        <v>9.9744</v>
      </c>
    </row>
    <row r="10" ht="14.25" customHeight="1">
      <c r="A10" s="1">
        <v>10.0</v>
      </c>
      <c r="B10" s="1" t="s">
        <v>14</v>
      </c>
      <c r="C10" s="1">
        <v>10.05</v>
      </c>
      <c r="D10" s="1" t="s">
        <v>14</v>
      </c>
      <c r="E10" s="1">
        <v>10.0474</v>
      </c>
      <c r="F10" s="1" t="s">
        <v>14</v>
      </c>
      <c r="G10" s="1">
        <v>10.05</v>
      </c>
      <c r="I10" s="1">
        <v>10.0471</v>
      </c>
    </row>
    <row r="11" ht="14.25" customHeight="1">
      <c r="A11" s="1">
        <v>33.0</v>
      </c>
      <c r="B11" s="1" t="s">
        <v>14</v>
      </c>
      <c r="C11" s="1">
        <v>32.92</v>
      </c>
      <c r="D11" s="1" t="s">
        <v>14</v>
      </c>
      <c r="E11" s="1">
        <v>32.916</v>
      </c>
      <c r="F11" s="1" t="s">
        <v>14</v>
      </c>
      <c r="G11" s="1">
        <v>32.92</v>
      </c>
      <c r="I11" s="1">
        <v>32.915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.0"/>
    <col customWidth="1" min="5" max="26" width="8.63"/>
  </cols>
  <sheetData>
    <row r="1" ht="14.25" customHeight="1">
      <c r="A1" s="1" t="s">
        <v>16</v>
      </c>
      <c r="E1" s="1" t="s">
        <v>16</v>
      </c>
      <c r="F1" s="1" t="s">
        <v>17</v>
      </c>
      <c r="H1" s="1" t="s">
        <v>16</v>
      </c>
      <c r="I1" s="1" t="s">
        <v>18</v>
      </c>
      <c r="K1" s="1" t="s">
        <v>19</v>
      </c>
      <c r="L1" s="1" t="s">
        <v>20</v>
      </c>
    </row>
    <row r="2" ht="14.25" customHeight="1">
      <c r="A2" s="1" t="s">
        <v>21</v>
      </c>
      <c r="B2" s="1">
        <v>19.9719</v>
      </c>
      <c r="E2" s="1" t="s">
        <v>21</v>
      </c>
      <c r="F2" s="1">
        <v>19.9727</v>
      </c>
      <c r="H2" s="1" t="s">
        <v>21</v>
      </c>
      <c r="I2" s="1">
        <v>19.9727</v>
      </c>
      <c r="K2" s="1">
        <v>1.5</v>
      </c>
      <c r="L2" s="1">
        <v>1.407</v>
      </c>
    </row>
    <row r="3" ht="14.25" customHeight="1">
      <c r="A3" s="1" t="s">
        <v>22</v>
      </c>
      <c r="B3" s="1">
        <v>15.0025</v>
      </c>
      <c r="E3" s="1" t="s">
        <v>22</v>
      </c>
      <c r="F3" s="1">
        <v>14.8655</v>
      </c>
      <c r="H3" s="1" t="s">
        <v>22</v>
      </c>
      <c r="I3" s="1">
        <v>14.8655</v>
      </c>
    </row>
    <row r="4" ht="14.25" customHeight="1">
      <c r="A4" s="1" t="s">
        <v>23</v>
      </c>
      <c r="B4" s="1">
        <v>4.9703</v>
      </c>
      <c r="E4" s="1" t="s">
        <v>23</v>
      </c>
      <c r="F4" s="1">
        <v>4.9252</v>
      </c>
      <c r="H4" s="1" t="s">
        <v>23</v>
      </c>
      <c r="I4" s="1">
        <v>4.9252</v>
      </c>
    </row>
    <row r="5" ht="14.25" customHeight="1">
      <c r="A5" s="1" t="s">
        <v>24</v>
      </c>
      <c r="B5" s="1">
        <v>19.9729</v>
      </c>
      <c r="E5" s="1" t="s">
        <v>25</v>
      </c>
      <c r="F5" s="1">
        <v>180.12</v>
      </c>
      <c r="H5" s="1" t="s">
        <v>25</v>
      </c>
      <c r="I5" s="1" t="s">
        <v>26</v>
      </c>
    </row>
    <row r="6" ht="14.25" customHeight="1">
      <c r="E6" s="1" t="s">
        <v>24</v>
      </c>
      <c r="F6" s="1">
        <v>19.7916</v>
      </c>
      <c r="H6" s="1" t="s">
        <v>24</v>
      </c>
      <c r="I6" s="1">
        <v>19.7916</v>
      </c>
    </row>
    <row r="7" ht="14.25" customHeight="1">
      <c r="E7" s="1" t="s">
        <v>27</v>
      </c>
      <c r="F7" s="1">
        <v>5.1059</v>
      </c>
      <c r="H7" s="1" t="s">
        <v>27</v>
      </c>
      <c r="I7" s="1">
        <v>5.1308</v>
      </c>
    </row>
    <row r="8" ht="14.25" customHeight="1"/>
    <row r="9" ht="14.25" customHeight="1"/>
    <row r="10" ht="14.25" customHeight="1">
      <c r="A10" s="1" t="s">
        <v>28</v>
      </c>
      <c r="B10" s="1" t="s">
        <v>29</v>
      </c>
      <c r="C10" s="1" t="s">
        <v>30</v>
      </c>
      <c r="D10" s="1" t="s">
        <v>31</v>
      </c>
    </row>
    <row r="11" ht="14.25" customHeight="1">
      <c r="A11" s="1">
        <v>0.5</v>
      </c>
      <c r="B11" s="1">
        <v>0.502</v>
      </c>
      <c r="C11" s="1">
        <v>0.039</v>
      </c>
      <c r="D11" s="1">
        <f t="shared" ref="D11:D34" si="1">C11/10000</f>
        <v>0.0000039</v>
      </c>
    </row>
    <row r="12" ht="14.25" customHeight="1">
      <c r="A12" s="1">
        <v>1.0</v>
      </c>
      <c r="B12" s="1">
        <v>1.009</v>
      </c>
      <c r="C12" s="1">
        <v>0.155</v>
      </c>
      <c r="D12" s="1">
        <f t="shared" si="1"/>
        <v>0.0000155</v>
      </c>
    </row>
    <row r="13" ht="14.25" customHeight="1">
      <c r="A13" s="1">
        <v>1.5</v>
      </c>
      <c r="B13" s="1">
        <v>1.504</v>
      </c>
      <c r="C13" s="1">
        <v>0.443</v>
      </c>
      <c r="D13" s="1">
        <f t="shared" si="1"/>
        <v>0.0000443</v>
      </c>
    </row>
    <row r="14" ht="14.25" customHeight="1">
      <c r="A14" s="1">
        <v>2.0</v>
      </c>
      <c r="B14" s="1">
        <v>2.011</v>
      </c>
      <c r="C14" s="1">
        <v>1.141</v>
      </c>
      <c r="D14" s="1">
        <f t="shared" si="1"/>
        <v>0.0001141</v>
      </c>
    </row>
    <row r="15" ht="14.25" customHeight="1">
      <c r="A15" s="1">
        <v>2.5</v>
      </c>
      <c r="B15" s="1">
        <v>2.502</v>
      </c>
      <c r="C15" s="1">
        <v>2.821</v>
      </c>
      <c r="D15" s="1">
        <f t="shared" si="1"/>
        <v>0.0002821</v>
      </c>
    </row>
    <row r="16" ht="14.25" customHeight="1">
      <c r="A16" s="1">
        <v>3.0</v>
      </c>
      <c r="B16" s="1">
        <v>2.996</v>
      </c>
      <c r="C16" s="1">
        <v>6.377</v>
      </c>
      <c r="D16" s="1">
        <f t="shared" si="1"/>
        <v>0.0006377</v>
      </c>
    </row>
    <row r="17" ht="14.25" customHeight="1">
      <c r="A17" s="1">
        <v>3.5</v>
      </c>
      <c r="B17" s="1">
        <v>3.516</v>
      </c>
      <c r="C17" s="1">
        <v>13.484</v>
      </c>
      <c r="D17" s="1">
        <f t="shared" si="1"/>
        <v>0.0013484</v>
      </c>
    </row>
    <row r="18" ht="14.25" customHeight="1">
      <c r="A18" s="1">
        <v>4.0</v>
      </c>
      <c r="B18" s="1">
        <v>4.01</v>
      </c>
      <c r="C18" s="1">
        <v>25.921</v>
      </c>
      <c r="D18" s="1">
        <f t="shared" si="1"/>
        <v>0.0025921</v>
      </c>
    </row>
    <row r="19" ht="14.25" customHeight="1">
      <c r="A19" s="1">
        <v>4.5</v>
      </c>
      <c r="B19" s="1">
        <v>4.49</v>
      </c>
      <c r="C19" s="1">
        <v>43.85</v>
      </c>
      <c r="D19" s="1">
        <f t="shared" si="1"/>
        <v>0.004385</v>
      </c>
    </row>
    <row r="20" ht="14.25" customHeight="1">
      <c r="A20" s="1">
        <v>5.0</v>
      </c>
      <c r="B20" s="1">
        <v>5.0</v>
      </c>
      <c r="C20" s="1">
        <v>66.682</v>
      </c>
      <c r="D20" s="1">
        <f t="shared" si="1"/>
        <v>0.0066682</v>
      </c>
    </row>
    <row r="21" ht="14.25" customHeight="1">
      <c r="A21" s="1">
        <v>5.5</v>
      </c>
      <c r="B21" s="1">
        <v>5.5</v>
      </c>
      <c r="C21" s="1">
        <v>93.307</v>
      </c>
      <c r="D21" s="1">
        <f t="shared" si="1"/>
        <v>0.0093307</v>
      </c>
    </row>
    <row r="22" ht="14.25" customHeight="1">
      <c r="A22" s="1">
        <v>6.0</v>
      </c>
      <c r="B22" s="1">
        <v>6.0</v>
      </c>
      <c r="C22" s="1">
        <v>123.452</v>
      </c>
      <c r="D22" s="1">
        <f t="shared" si="1"/>
        <v>0.0123452</v>
      </c>
    </row>
    <row r="23" ht="14.25" customHeight="1">
      <c r="A23" s="1">
        <v>6.5</v>
      </c>
      <c r="B23" s="1">
        <v>6.5</v>
      </c>
      <c r="C23" s="1">
        <v>154.853</v>
      </c>
      <c r="D23" s="1">
        <f t="shared" si="1"/>
        <v>0.0154853</v>
      </c>
    </row>
    <row r="24" ht="14.25" customHeight="1">
      <c r="A24" s="1">
        <v>7.0</v>
      </c>
      <c r="B24" s="1">
        <v>7.0</v>
      </c>
      <c r="C24" s="1">
        <v>189.15</v>
      </c>
      <c r="D24" s="1">
        <f t="shared" si="1"/>
        <v>0.018915</v>
      </c>
    </row>
    <row r="25" ht="14.25" customHeight="1">
      <c r="A25" s="1">
        <v>7.5</v>
      </c>
      <c r="B25" s="1">
        <v>7.5</v>
      </c>
      <c r="C25" s="1">
        <v>223.78</v>
      </c>
      <c r="D25" s="1">
        <f t="shared" si="1"/>
        <v>0.022378</v>
      </c>
    </row>
    <row r="26" ht="14.25" customHeight="1">
      <c r="A26" s="1">
        <v>8.0</v>
      </c>
      <c r="B26" s="1">
        <v>8.0</v>
      </c>
      <c r="C26" s="1">
        <v>257.67</v>
      </c>
      <c r="D26" s="1">
        <f t="shared" si="1"/>
        <v>0.025767</v>
      </c>
    </row>
    <row r="27" ht="14.25" customHeight="1">
      <c r="A27" s="1">
        <v>8.5</v>
      </c>
      <c r="B27" s="1">
        <v>8.5</v>
      </c>
      <c r="C27" s="1">
        <v>292.88</v>
      </c>
      <c r="D27" s="1">
        <f t="shared" si="1"/>
        <v>0.029288</v>
      </c>
    </row>
    <row r="28" ht="14.25" customHeight="1">
      <c r="A28" s="1">
        <v>9.0</v>
      </c>
      <c r="B28" s="1">
        <v>9.0</v>
      </c>
      <c r="C28" s="1">
        <v>328.8</v>
      </c>
      <c r="D28" s="1">
        <f t="shared" si="1"/>
        <v>0.03288</v>
      </c>
    </row>
    <row r="29" ht="14.25" customHeight="1">
      <c r="A29" s="1">
        <v>9.5</v>
      </c>
      <c r="B29" s="1">
        <v>9.5</v>
      </c>
      <c r="C29" s="1">
        <v>366.94</v>
      </c>
      <c r="D29" s="1">
        <f t="shared" si="1"/>
        <v>0.036694</v>
      </c>
    </row>
    <row r="30" ht="14.25" customHeight="1">
      <c r="A30" s="1">
        <v>10.0</v>
      </c>
      <c r="B30" s="1">
        <v>10.0</v>
      </c>
      <c r="C30" s="1">
        <v>405.96</v>
      </c>
      <c r="D30" s="1">
        <f t="shared" si="1"/>
        <v>0.040596</v>
      </c>
    </row>
    <row r="31" ht="14.25" customHeight="1">
      <c r="A31" s="1">
        <v>10.5</v>
      </c>
      <c r="B31" s="1">
        <v>10.5</v>
      </c>
      <c r="C31" s="1">
        <v>441.73</v>
      </c>
      <c r="D31" s="1">
        <f t="shared" si="1"/>
        <v>0.044173</v>
      </c>
    </row>
    <row r="32" ht="14.25" customHeight="1">
      <c r="A32" s="1">
        <v>11.0</v>
      </c>
      <c r="B32" s="1">
        <v>11.0</v>
      </c>
      <c r="C32" s="1">
        <v>477.92</v>
      </c>
      <c r="D32" s="1">
        <f t="shared" si="1"/>
        <v>0.047792</v>
      </c>
    </row>
    <row r="33" ht="14.25" customHeight="1">
      <c r="A33" s="1">
        <v>11.5</v>
      </c>
      <c r="B33" s="1">
        <v>11.5</v>
      </c>
      <c r="C33" s="1">
        <v>516.76</v>
      </c>
      <c r="D33" s="1">
        <f t="shared" si="1"/>
        <v>0.051676</v>
      </c>
    </row>
    <row r="34" ht="14.25" customHeight="1">
      <c r="A34" s="1">
        <v>12.0</v>
      </c>
      <c r="B34" s="1">
        <v>12.0</v>
      </c>
      <c r="C34" s="1">
        <v>559.78</v>
      </c>
      <c r="D34" s="1">
        <f t="shared" si="1"/>
        <v>0.055978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32</v>
      </c>
      <c r="D1" s="1">
        <v>0.0</v>
      </c>
      <c r="E1" s="2" t="s">
        <v>33</v>
      </c>
      <c r="G1" s="1">
        <v>0.0</v>
      </c>
      <c r="H1" s="2" t="s">
        <v>34</v>
      </c>
      <c r="J1" s="1">
        <v>178.0</v>
      </c>
      <c r="K1" s="1">
        <f>1*40/D21</f>
        <v>1</v>
      </c>
      <c r="N1" s="1">
        <v>40.0</v>
      </c>
    </row>
    <row r="2" ht="14.25" customHeight="1">
      <c r="A2" s="1">
        <v>178.0</v>
      </c>
      <c r="D2" s="1">
        <v>2.0</v>
      </c>
      <c r="G2" s="1">
        <v>2.0</v>
      </c>
      <c r="J2" s="1">
        <v>185.0</v>
      </c>
      <c r="K2" s="1">
        <f>1*40/D20</f>
        <v>1.052631579</v>
      </c>
      <c r="N2" s="1">
        <v>38.0</v>
      </c>
    </row>
    <row r="3" ht="14.25" customHeight="1">
      <c r="A3" s="1">
        <v>303.0</v>
      </c>
      <c r="D3" s="1">
        <v>4.0</v>
      </c>
      <c r="G3" s="1">
        <v>4.0</v>
      </c>
      <c r="J3" s="1">
        <v>192.0</v>
      </c>
      <c r="K3" s="1">
        <f>1*40/D19</f>
        <v>1.111111111</v>
      </c>
      <c r="N3" s="1">
        <v>36.0</v>
      </c>
    </row>
    <row r="4" ht="14.25" customHeight="1">
      <c r="D4" s="1">
        <v>6.0</v>
      </c>
      <c r="G4" s="1">
        <v>6.0</v>
      </c>
      <c r="J4" s="1">
        <v>200.0</v>
      </c>
      <c r="K4" s="1">
        <f>1*40/D18</f>
        <v>1.176470588</v>
      </c>
      <c r="N4" s="1">
        <v>34.0</v>
      </c>
    </row>
    <row r="5" ht="14.25" customHeight="1">
      <c r="D5" s="1">
        <v>8.0</v>
      </c>
      <c r="G5" s="1">
        <v>8.0</v>
      </c>
      <c r="J5" s="1">
        <v>210.0</v>
      </c>
      <c r="K5" s="1">
        <f>1*40/D17</f>
        <v>1.25</v>
      </c>
      <c r="N5" s="1">
        <v>32.0</v>
      </c>
    </row>
    <row r="6" ht="14.25" customHeight="1">
      <c r="D6" s="1">
        <v>10.0</v>
      </c>
      <c r="E6" s="1">
        <v>520.0</v>
      </c>
      <c r="G6" s="1">
        <v>10.0</v>
      </c>
      <c r="H6" s="1">
        <v>444.0</v>
      </c>
      <c r="I6" s="1">
        <f t="shared" ref="I6:I20" si="1">H7-H6</f>
        <v>-47</v>
      </c>
      <c r="J6" s="1">
        <v>220.0</v>
      </c>
      <c r="K6" s="1">
        <f>1*40/D16</f>
        <v>1.333333333</v>
      </c>
      <c r="N6" s="1">
        <v>30.0</v>
      </c>
    </row>
    <row r="7" ht="14.25" customHeight="1">
      <c r="D7" s="1">
        <v>12.0</v>
      </c>
      <c r="E7" s="1">
        <v>450.0</v>
      </c>
      <c r="G7" s="1">
        <v>12.0</v>
      </c>
      <c r="H7" s="1">
        <v>397.0</v>
      </c>
      <c r="I7" s="1">
        <f t="shared" si="1"/>
        <v>-33</v>
      </c>
      <c r="J7" s="1">
        <v>233.0</v>
      </c>
      <c r="K7" s="1">
        <f>1*40/D15</f>
        <v>1.428571429</v>
      </c>
      <c r="N7" s="1">
        <v>28.0</v>
      </c>
    </row>
    <row r="8" ht="14.25" customHeight="1">
      <c r="D8" s="1">
        <v>14.0</v>
      </c>
      <c r="E8" s="1">
        <v>392.0</v>
      </c>
      <c r="G8" s="1">
        <v>14.0</v>
      </c>
      <c r="H8" s="1">
        <v>364.0</v>
      </c>
      <c r="I8" s="1">
        <f t="shared" si="1"/>
        <v>-31</v>
      </c>
      <c r="J8" s="1">
        <v>247.0</v>
      </c>
      <c r="K8" s="1">
        <f>1*40/D14</f>
        <v>1.538461538</v>
      </c>
      <c r="N8" s="1">
        <v>26.0</v>
      </c>
    </row>
    <row r="9" ht="14.25" customHeight="1">
      <c r="D9" s="1">
        <v>16.0</v>
      </c>
      <c r="E9" s="1">
        <v>360.0</v>
      </c>
      <c r="G9" s="1">
        <v>16.0</v>
      </c>
      <c r="H9" s="1">
        <v>333.0</v>
      </c>
      <c r="I9" s="1">
        <f t="shared" si="1"/>
        <v>-24</v>
      </c>
      <c r="J9" s="1">
        <v>261.0</v>
      </c>
      <c r="K9" s="1">
        <f>1*40/D13</f>
        <v>1.666666667</v>
      </c>
      <c r="N9" s="1">
        <v>24.0</v>
      </c>
    </row>
    <row r="10" ht="14.25" customHeight="1">
      <c r="D10" s="1">
        <v>18.0</v>
      </c>
      <c r="E10" s="1">
        <v>330.0</v>
      </c>
      <c r="G10" s="1">
        <v>18.0</v>
      </c>
      <c r="H10" s="1">
        <v>309.0</v>
      </c>
      <c r="I10" s="1">
        <f t="shared" si="1"/>
        <v>-23</v>
      </c>
      <c r="J10" s="1">
        <v>280.0</v>
      </c>
      <c r="K10" s="1">
        <f>1*40/D12</f>
        <v>1.818181818</v>
      </c>
      <c r="N10" s="1">
        <v>22.0</v>
      </c>
    </row>
    <row r="11" ht="14.25" customHeight="1">
      <c r="D11" s="1">
        <v>20.0</v>
      </c>
      <c r="E11" s="1">
        <v>303.0</v>
      </c>
      <c r="G11" s="1">
        <v>20.0</v>
      </c>
      <c r="H11" s="1">
        <v>286.0</v>
      </c>
      <c r="I11" s="1">
        <f t="shared" si="1"/>
        <v>-14</v>
      </c>
      <c r="J11" s="1">
        <v>303.0</v>
      </c>
      <c r="K11" s="1">
        <f>1*40/D11</f>
        <v>2</v>
      </c>
      <c r="N11" s="1">
        <v>20.0</v>
      </c>
    </row>
    <row r="12" ht="14.25" customHeight="1">
      <c r="D12" s="1">
        <v>22.0</v>
      </c>
      <c r="E12" s="1">
        <v>280.0</v>
      </c>
      <c r="G12" s="1">
        <v>22.0</v>
      </c>
      <c r="H12" s="1">
        <v>272.0</v>
      </c>
      <c r="I12" s="1">
        <f t="shared" si="1"/>
        <v>-16</v>
      </c>
      <c r="J12" s="1">
        <v>330.0</v>
      </c>
      <c r="K12" s="1">
        <f>1*40/D10</f>
        <v>2.222222222</v>
      </c>
      <c r="N12" s="1">
        <v>18.0</v>
      </c>
    </row>
    <row r="13" ht="14.25" customHeight="1">
      <c r="D13" s="1">
        <v>24.0</v>
      </c>
      <c r="E13" s="1">
        <v>261.0</v>
      </c>
      <c r="G13" s="1">
        <v>24.0</v>
      </c>
      <c r="H13" s="1">
        <v>256.0</v>
      </c>
      <c r="I13" s="1">
        <f t="shared" si="1"/>
        <v>-15</v>
      </c>
      <c r="J13" s="1">
        <v>360.0</v>
      </c>
      <c r="K13" s="1">
        <f>1*40/D9</f>
        <v>2.5</v>
      </c>
      <c r="N13" s="1">
        <v>16.0</v>
      </c>
    </row>
    <row r="14" ht="14.25" customHeight="1">
      <c r="D14" s="1">
        <v>26.0</v>
      </c>
      <c r="E14" s="1">
        <v>247.0</v>
      </c>
      <c r="G14" s="1">
        <v>26.0</v>
      </c>
      <c r="H14" s="1">
        <v>241.0</v>
      </c>
      <c r="I14" s="1">
        <f t="shared" si="1"/>
        <v>-13</v>
      </c>
      <c r="J14" s="1">
        <v>392.0</v>
      </c>
      <c r="K14" s="1">
        <f>1*40/D8</f>
        <v>2.857142857</v>
      </c>
      <c r="N14" s="1">
        <v>14.0</v>
      </c>
    </row>
    <row r="15" ht="14.25" customHeight="1">
      <c r="D15" s="1">
        <v>28.0</v>
      </c>
      <c r="E15" s="1">
        <v>233.0</v>
      </c>
      <c r="G15" s="1">
        <v>28.0</v>
      </c>
      <c r="H15" s="1">
        <v>228.0</v>
      </c>
      <c r="I15" s="1">
        <f t="shared" si="1"/>
        <v>-11</v>
      </c>
      <c r="J15" s="1">
        <v>450.0</v>
      </c>
      <c r="K15" s="1">
        <f>1*40/D7</f>
        <v>3.333333333</v>
      </c>
      <c r="N15" s="1">
        <v>12.0</v>
      </c>
    </row>
    <row r="16" ht="14.25" customHeight="1">
      <c r="D16" s="1">
        <v>30.0</v>
      </c>
      <c r="E16" s="1">
        <v>220.0</v>
      </c>
      <c r="G16" s="1">
        <v>30.0</v>
      </c>
      <c r="H16" s="1">
        <v>217.0</v>
      </c>
      <c r="I16" s="1">
        <f t="shared" si="1"/>
        <v>-10</v>
      </c>
      <c r="J16" s="1">
        <v>520.0</v>
      </c>
      <c r="K16" s="1">
        <f>1*40/D6</f>
        <v>4</v>
      </c>
      <c r="N16" s="1">
        <v>10.0</v>
      </c>
    </row>
    <row r="17" ht="14.25" customHeight="1">
      <c r="D17" s="1">
        <v>32.0</v>
      </c>
      <c r="E17" s="1">
        <v>210.0</v>
      </c>
      <c r="G17" s="1">
        <v>32.0</v>
      </c>
      <c r="H17" s="1">
        <v>207.0</v>
      </c>
      <c r="I17" s="1">
        <f t="shared" si="1"/>
        <v>-8</v>
      </c>
    </row>
    <row r="18" ht="14.25" customHeight="1">
      <c r="D18" s="1">
        <v>34.0</v>
      </c>
      <c r="E18" s="1">
        <v>200.0</v>
      </c>
      <c r="G18" s="1">
        <v>34.0</v>
      </c>
      <c r="H18" s="1">
        <v>199.0</v>
      </c>
      <c r="I18" s="1">
        <f t="shared" si="1"/>
        <v>-8</v>
      </c>
    </row>
    <row r="19" ht="14.25" customHeight="1">
      <c r="D19" s="1">
        <v>36.0</v>
      </c>
      <c r="E19" s="1">
        <v>192.0</v>
      </c>
      <c r="G19" s="1">
        <v>36.0</v>
      </c>
      <c r="H19" s="1">
        <v>191.0</v>
      </c>
      <c r="I19" s="1">
        <f t="shared" si="1"/>
        <v>-6</v>
      </c>
    </row>
    <row r="20" ht="14.25" customHeight="1">
      <c r="D20" s="1">
        <v>38.0</v>
      </c>
      <c r="E20" s="1">
        <v>185.0</v>
      </c>
      <c r="G20" s="1">
        <v>38.0</v>
      </c>
      <c r="H20" s="1">
        <v>185.0</v>
      </c>
      <c r="I20" s="1">
        <f t="shared" si="1"/>
        <v>-6</v>
      </c>
    </row>
    <row r="21" ht="14.25" customHeight="1">
      <c r="D21" s="1">
        <v>40.0</v>
      </c>
      <c r="E21" s="1">
        <v>178.0</v>
      </c>
      <c r="G21" s="1">
        <v>40.0</v>
      </c>
      <c r="H21" s="1">
        <v>179.0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>
        <v>1.0</v>
      </c>
      <c r="B1" s="1">
        <v>0.75</v>
      </c>
      <c r="C1" s="1">
        <v>0.51</v>
      </c>
      <c r="D1" s="1">
        <v>0.25</v>
      </c>
    </row>
    <row r="2" ht="14.25" customHeight="1">
      <c r="A2" s="3">
        <v>1.9922452E7</v>
      </c>
      <c r="B2" s="3">
        <v>1.7637644E7</v>
      </c>
      <c r="C2" s="3">
        <v>1.4873448E7</v>
      </c>
      <c r="D2" s="4">
        <v>1.0254424E7</v>
      </c>
    </row>
    <row r="3" ht="14.25" customHeight="1">
      <c r="A3" s="3">
        <v>1.9922988E7</v>
      </c>
      <c r="B3" s="3">
        <v>1.7632508E7</v>
      </c>
      <c r="C3" s="3">
        <v>1.4867588E7</v>
      </c>
      <c r="D3" s="4">
        <v>1.0305012E7</v>
      </c>
    </row>
    <row r="4" ht="14.25" customHeight="1">
      <c r="A4" s="3">
        <v>1.99202E7</v>
      </c>
      <c r="B4" s="3">
        <v>1.7634004E7</v>
      </c>
      <c r="C4" s="3">
        <v>1.4871548E7</v>
      </c>
      <c r="D4" s="4">
        <v>1.0345608E7</v>
      </c>
    </row>
    <row r="5" ht="14.25" customHeight="1">
      <c r="A5" s="3">
        <v>1.9921436E7</v>
      </c>
      <c r="B5" s="3">
        <v>1.7628252E7</v>
      </c>
      <c r="C5" s="3">
        <v>1.4863604E7</v>
      </c>
      <c r="D5" s="4">
        <v>1.0318924E7</v>
      </c>
    </row>
    <row r="6" ht="14.25" customHeight="1">
      <c r="A6" s="3">
        <v>1.9919016E7</v>
      </c>
      <c r="B6" s="3">
        <v>1.763054E7</v>
      </c>
      <c r="C6" s="3">
        <v>1.4868772E7</v>
      </c>
      <c r="D6" s="4">
        <v>1.0270812E7</v>
      </c>
    </row>
    <row r="7" ht="14.25" customHeight="1">
      <c r="A7" s="3">
        <v>1.9920148E7</v>
      </c>
      <c r="B7" s="3">
        <v>1.7624456E7</v>
      </c>
      <c r="C7" s="3">
        <v>1.4859124E7</v>
      </c>
      <c r="D7" s="4">
        <v>1.0252856E7</v>
      </c>
    </row>
    <row r="8" ht="14.25" customHeight="1">
      <c r="A8" s="3">
        <v>1.9918204E7</v>
      </c>
      <c r="B8" s="3">
        <v>1.762768E7</v>
      </c>
      <c r="C8" s="3">
        <v>1.4866104E7</v>
      </c>
      <c r="D8" s="4">
        <v>1.0236948E7</v>
      </c>
    </row>
    <row r="9" ht="14.25" customHeight="1">
      <c r="A9" s="3">
        <v>1.991924E7</v>
      </c>
      <c r="B9" s="3">
        <v>1.7621968E7</v>
      </c>
      <c r="C9" s="3">
        <v>1.4853456E7</v>
      </c>
      <c r="D9" s="4">
        <v>1.0217508E7</v>
      </c>
    </row>
    <row r="10" ht="14.25" customHeight="1">
      <c r="A10" s="3">
        <v>1.99169E7</v>
      </c>
      <c r="B10" s="3">
        <v>1.7625004E7</v>
      </c>
      <c r="C10" s="3">
        <v>1.486282E7</v>
      </c>
      <c r="D10" s="4">
        <v>1.0204856E7</v>
      </c>
    </row>
    <row r="11" ht="14.25" customHeight="1">
      <c r="A11" s="3">
        <v>1.9917948E7</v>
      </c>
      <c r="B11" s="3">
        <v>1.7618652E7</v>
      </c>
      <c r="C11" s="3">
        <v>1.4847248E7</v>
      </c>
      <c r="D11" s="4">
        <v>1.0186768E7</v>
      </c>
    </row>
    <row r="12" ht="14.25" customHeight="1">
      <c r="B12" s="5"/>
      <c r="C12" s="3">
        <v>1.4859688E7</v>
      </c>
    </row>
    <row r="13" ht="14.25" customHeight="1">
      <c r="B13" s="5"/>
      <c r="C13" s="3">
        <v>1.4839332E7</v>
      </c>
    </row>
    <row r="14" ht="14.25" customHeight="1">
      <c r="B14" s="5"/>
      <c r="C14" s="6">
        <v>1.4857024E7</v>
      </c>
    </row>
    <row r="15" ht="14.25" customHeight="1">
      <c r="B15" s="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2025-11-13T13:08:15Z</dcterms:created>
  <dc:creator>Faical Abakouy</dc:creator>
</cp:coreProperties>
</file>